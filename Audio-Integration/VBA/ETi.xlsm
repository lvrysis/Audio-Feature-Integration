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showInkAnnotation="0" codeName="ThisWorkbook" defaultThemeVersion="124226"/>
  <bookViews>
    <workbookView xWindow="2040" yWindow="1830" windowWidth="19440" windowHeight="10065"/>
  </bookViews>
  <sheets>
    <sheet name="calculation" sheetId="1" r:id="rId1"/>
  </sheets>
  <calcPr calcId="144525"/>
</workbook>
</file>

<file path=xl/calcChain.xml><?xml version="1.0" encoding="utf-8"?>
<calcChain xmlns="http://schemas.openxmlformats.org/spreadsheetml/2006/main">
  <c r="B28" i="1" l="1"/>
  <c r="B10" i="1" l="1"/>
  <c r="B9" i="1"/>
</calcChain>
</file>

<file path=xl/sharedStrings.xml><?xml version="1.0" encoding="utf-8"?>
<sst xmlns="http://schemas.openxmlformats.org/spreadsheetml/2006/main" count="50" uniqueCount="42">
  <si>
    <t>Time</t>
  </si>
  <si>
    <t>Sample Rate (Hz)</t>
  </si>
  <si>
    <t>Window Size (samples)</t>
  </si>
  <si>
    <t>Setup</t>
  </si>
  <si>
    <t>FFT Window Size (samples)</t>
  </si>
  <si>
    <t>FFT Window Step (samples)</t>
  </si>
  <si>
    <t>Intergrating Window Size (frames)</t>
  </si>
  <si>
    <t>Intergrating Window Step (frames)</t>
  </si>
  <si>
    <t>Resulting Windows</t>
  </si>
  <si>
    <t>Window Step (samples)</t>
  </si>
  <si>
    <t>Input</t>
  </si>
  <si>
    <t>Output</t>
  </si>
  <si>
    <t>Window</t>
  </si>
  <si>
    <t>Mean</t>
  </si>
  <si>
    <t>Max</t>
  </si>
  <si>
    <t>Min</t>
  </si>
  <si>
    <t>Kurtosis</t>
  </si>
  <si>
    <t>Skewness</t>
  </si>
  <si>
    <t>Flatness</t>
  </si>
  <si>
    <t>High Crest Factor</t>
  </si>
  <si>
    <t>Low Crest Factor</t>
  </si>
  <si>
    <t>x</t>
  </si>
  <si>
    <t>When using YAAFE Statistical Integrator, and this, remove first and last row from YAAFE to match these results</t>
  </si>
  <si>
    <t>When using YAAFE &amp; SONIC, remove last two rows from SONIC</t>
  </si>
  <si>
    <t>Mean Crossing Rate</t>
  </si>
  <si>
    <t>Standard Deviation</t>
  </si>
  <si>
    <t>Metrics Count</t>
  </si>
  <si>
    <t>Relative Standard Deviation</t>
  </si>
  <si>
    <t>Slope Change Rate</t>
  </si>
  <si>
    <t>MFCC01</t>
  </si>
  <si>
    <t>MFCC02</t>
  </si>
  <si>
    <t>MFCC03</t>
  </si>
  <si>
    <t>MFCC04</t>
  </si>
  <si>
    <t>MFCC05</t>
  </si>
  <si>
    <t>MFCC06</t>
  </si>
  <si>
    <t>MFCC07</t>
  </si>
  <si>
    <t>MFCC08</t>
  </si>
  <si>
    <t>MFCC09</t>
  </si>
  <si>
    <t>MFCC10</t>
  </si>
  <si>
    <t>MFCC11</t>
  </si>
  <si>
    <t>MFCC12</t>
  </si>
  <si>
    <t>Mean Sequential Difference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</si>
</sst>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"/>
  </numFmts>
  <fonts count="24" x14ac:knownFonts="1">
    <font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8"/>
      <color theme="3"/>
      <name val="Cambria"/>
      <family val="2"/>
      <charset val="161"/>
      <scheme val="major"/>
    </font>
    <font>
      <b/>
      <sz val="15"/>
      <color theme="3"/>
      <name val="Calibri"/>
      <family val="2"/>
      <charset val="161"/>
      <scheme val="minor"/>
    </font>
    <font>
      <b/>
      <sz val="13"/>
      <color theme="3"/>
      <name val="Calibri"/>
      <family val="2"/>
      <charset val="161"/>
      <scheme val="minor"/>
    </font>
    <font>
      <b/>
      <sz val="11"/>
      <color theme="3"/>
      <name val="Calibri"/>
      <family val="2"/>
      <charset val="161"/>
      <scheme val="minor"/>
    </font>
    <font>
      <sz val="11"/>
      <color rgb="FF006100"/>
      <name val="Calibri"/>
      <family val="2"/>
      <charset val="161"/>
      <scheme val="minor"/>
    </font>
    <font>
      <sz val="11"/>
      <color rgb="FF9C0006"/>
      <name val="Calibri"/>
      <family val="2"/>
      <charset val="161"/>
      <scheme val="minor"/>
    </font>
    <font>
      <sz val="11"/>
      <color rgb="FF9C6500"/>
      <name val="Calibri"/>
      <family val="2"/>
      <charset val="161"/>
      <scheme val="minor"/>
    </font>
    <font>
      <sz val="11"/>
      <color rgb="FF3F3F76"/>
      <name val="Calibri"/>
      <family val="2"/>
      <charset val="161"/>
      <scheme val="minor"/>
    </font>
    <font>
      <b/>
      <sz val="11"/>
      <color rgb="FF3F3F3F"/>
      <name val="Calibri"/>
      <family val="2"/>
      <charset val="161"/>
      <scheme val="minor"/>
    </font>
    <font>
      <b/>
      <sz val="11"/>
      <color rgb="FFFA7D00"/>
      <name val="Calibri"/>
      <family val="2"/>
      <charset val="161"/>
      <scheme val="minor"/>
    </font>
    <font>
      <sz val="11"/>
      <color rgb="FFFA7D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rgb="FFFF0000"/>
      <name val="Calibri"/>
      <family val="2"/>
      <charset val="161"/>
      <scheme val="minor"/>
    </font>
    <font>
      <i/>
      <sz val="11"/>
      <color rgb="FF7F7F7F"/>
      <name val="Calibri"/>
      <family val="2"/>
      <charset val="161"/>
      <scheme val="minor"/>
    </font>
    <font>
      <b/>
      <sz val="11"/>
      <color theme="1"/>
      <name val="Calibri"/>
      <family val="2"/>
      <charset val="161"/>
      <scheme val="minor"/>
    </font>
    <font>
      <sz val="11"/>
      <color theme="0"/>
      <name val="Calibri"/>
      <family val="2"/>
      <charset val="161"/>
      <scheme val="minor"/>
    </font>
    <font>
      <sz val="8"/>
      <color theme="1"/>
      <name val="Calibri"/>
      <family val="2"/>
      <charset val="161"/>
      <scheme val="minor"/>
    </font>
    <font>
      <sz val="8"/>
      <color rgb="FF3F3F76"/>
      <name val="Calibri"/>
      <family val="2"/>
      <charset val="161"/>
      <scheme val="minor"/>
    </font>
    <font>
      <b/>
      <i/>
      <sz val="11"/>
      <color rgb="FF7F7F7F"/>
      <name val="Calibri"/>
      <family val="2"/>
      <charset val="161"/>
      <scheme val="minor"/>
    </font>
    <font>
      <b/>
      <sz val="11"/>
      <color rgb="FF3F3F76"/>
      <name val="Calibri"/>
      <family val="2"/>
      <charset val="161"/>
      <scheme val="minor"/>
    </font>
    <font>
      <sz val="8"/>
      <name val="Calibri"/>
      <family val="2"/>
      <charset val="161"/>
      <scheme val="minor"/>
    </font>
    <font>
      <sz val="11"/>
      <name val="Calibri"/>
      <family val="2"/>
      <charset val="161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2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/>
      <diagonal/>
    </border>
    <border>
      <left style="thin">
        <color indexed="64"/>
      </left>
      <right style="thin">
        <color rgb="FFB2B2B2"/>
      </right>
      <top style="thin">
        <color indexed="64"/>
      </top>
      <bottom/>
      <diagonal/>
    </border>
    <border>
      <left style="thin">
        <color rgb="FFB2B2B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39">
    <xf numFmtId="0" fontId="0" fillId="0" borderId="0" xfId="0"/>
    <xf numFmtId="0" fontId="0" fillId="0" borderId="0" xfId="0" applyFill="1"/>
    <xf numFmtId="0" fontId="15" fillId="0" borderId="0" xfId="16" applyFill="1" applyAlignment="1">
      <alignment horizontal="center" vertical="top"/>
    </xf>
    <xf numFmtId="0" fontId="15" fillId="0" borderId="10" xfId="16" applyFill="1" applyBorder="1" applyAlignment="1">
      <alignment horizontal="right"/>
    </xf>
    <xf numFmtId="0" fontId="15" fillId="0" borderId="12" xfId="16" applyFill="1" applyBorder="1" applyAlignment="1">
      <alignment horizontal="right"/>
    </xf>
    <xf numFmtId="0" fontId="15" fillId="0" borderId="14" xfId="16" applyFill="1" applyBorder="1" applyAlignment="1">
      <alignment horizontal="right"/>
    </xf>
    <xf numFmtId="0" fontId="15" fillId="0" borderId="0" xfId="16" applyFill="1" applyAlignment="1">
      <alignment horizontal="center" vertical="center"/>
    </xf>
    <xf numFmtId="0" fontId="15" fillId="0" borderId="0" xfId="16" applyFill="1" applyAlignment="1">
      <alignment horizontal="center"/>
    </xf>
    <xf numFmtId="0" fontId="9" fillId="5" borderId="11" xfId="9" applyBorder="1" applyAlignment="1">
      <alignment horizontal="center"/>
    </xf>
    <xf numFmtId="0" fontId="9" fillId="5" borderId="13" xfId="9" applyBorder="1" applyAlignment="1">
      <alignment horizontal="center"/>
    </xf>
    <xf numFmtId="0" fontId="9" fillId="5" borderId="15" xfId="9" applyBorder="1" applyAlignment="1">
      <alignment horizontal="center"/>
    </xf>
    <xf numFmtId="0" fontId="11" fillId="6" borderId="11" xfId="11" applyBorder="1" applyAlignment="1">
      <alignment horizontal="center"/>
    </xf>
    <xf numFmtId="0" fontId="11" fillId="6" borderId="15" xfId="11" applyBorder="1" applyAlignment="1">
      <alignment horizontal="center"/>
    </xf>
    <xf numFmtId="0" fontId="15" fillId="0" borderId="0" xfId="16" applyAlignment="1">
      <alignment horizontal="center"/>
    </xf>
    <xf numFmtId="0" fontId="0" fillId="0" borderId="0" xfId="0"/>
    <xf numFmtId="0" fontId="15" fillId="0" borderId="10" xfId="16" applyBorder="1" applyAlignment="1">
      <alignment horizontal="right"/>
    </xf>
    <xf numFmtId="0" fontId="15" fillId="0" borderId="12" xfId="16" applyBorder="1" applyAlignment="1">
      <alignment horizontal="right"/>
    </xf>
    <xf numFmtId="0" fontId="0" fillId="0" borderId="0" xfId="0" applyFill="1" applyAlignment="1"/>
    <xf numFmtId="0" fontId="18" fillId="0" borderId="0" xfId="0" applyFont="1" applyAlignment="1">
      <alignment horizontal="center"/>
    </xf>
    <xf numFmtId="0" fontId="18" fillId="8" borderId="19" xfId="15" applyFont="1" applyBorder="1" applyAlignment="1">
      <alignment horizontal="center"/>
    </xf>
    <xf numFmtId="2" fontId="18" fillId="8" borderId="19" xfId="15" applyNumberFormat="1" applyFont="1" applyBorder="1" applyAlignment="1">
      <alignment horizontal="center"/>
    </xf>
    <xf numFmtId="0" fontId="19" fillId="5" borderId="4" xfId="9" applyFont="1" applyAlignment="1">
      <alignment horizontal="center"/>
    </xf>
    <xf numFmtId="2" fontId="18" fillId="0" borderId="0" xfId="0" applyNumberFormat="1" applyFont="1" applyAlignment="1">
      <alignment horizontal="center"/>
    </xf>
    <xf numFmtId="0" fontId="20" fillId="0" borderId="20" xfId="16" applyFont="1" applyBorder="1" applyAlignment="1">
      <alignment horizontal="right"/>
    </xf>
    <xf numFmtId="0" fontId="21" fillId="5" borderId="21" xfId="9" applyFont="1" applyBorder="1" applyAlignment="1">
      <alignment horizontal="center"/>
    </xf>
    <xf numFmtId="164" fontId="18" fillId="0" borderId="0" xfId="0" applyNumberFormat="1" applyFont="1" applyAlignment="1">
      <alignment horizontal="center"/>
    </xf>
    <xf numFmtId="0" fontId="22" fillId="8" borderId="8" xfId="15" applyFont="1" applyAlignment="1">
      <alignment horizontal="center"/>
    </xf>
    <xf numFmtId="0" fontId="23" fillId="8" borderId="8" xfId="15" applyFont="1"/>
    <xf numFmtId="165" fontId="22" fillId="8" borderId="8" xfId="15" applyNumberFormat="1" applyFont="1" applyAlignment="1">
      <alignment horizontal="center"/>
    </xf>
    <xf numFmtId="165" fontId="18" fillId="0" borderId="0" xfId="0" applyNumberFormat="1" applyFont="1" applyAlignment="1">
      <alignment horizontal="center"/>
    </xf>
    <xf numFmtId="49" fontId="18" fillId="0" borderId="0" xfId="0" applyNumberFormat="1" applyFont="1" applyAlignment="1">
      <alignment horizontal="center"/>
    </xf>
    <xf numFmtId="49" fontId="22" fillId="8" borderId="8" xfId="15" applyNumberFormat="1" applyFont="1" applyAlignment="1">
      <alignment horizontal="center"/>
    </xf>
    <xf numFmtId="0" fontId="7" fillId="3" borderId="0" xfId="7" applyAlignment="1">
      <alignment horizontal="center" vertical="center" wrapText="1"/>
    </xf>
    <xf numFmtId="0" fontId="0" fillId="8" borderId="17" xfId="15" applyFont="1" applyBorder="1" applyAlignment="1">
      <alignment horizontal="center"/>
    </xf>
    <xf numFmtId="0" fontId="0" fillId="8" borderId="18" xfId="15" applyFont="1" applyBorder="1" applyAlignment="1">
      <alignment horizontal="center"/>
    </xf>
    <xf numFmtId="0" fontId="0" fillId="8" borderId="16" xfId="15" applyFont="1" applyBorder="1" applyAlignment="1">
      <alignment horizontal="center"/>
    </xf>
    <xf numFmtId="0" fontId="9" fillId="5" borderId="4" xfId="9" applyAlignment="1">
      <alignment horizontal="center"/>
    </xf>
    <xf numFmtId="0" fontId="11" fillId="6" borderId="4" xfId="11" applyAlignment="1">
      <alignment horizontal="center"/>
    </xf>
    <xf numFmtId="0" fontId="0" fillId="8" borderId="19" xfId="15" applyFont="1" applyBorder="1" applyAlignment="1">
      <alignment horizontal="center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1</xdr:row>
          <xdr:rowOff>9525</xdr:rowOff>
        </xdr:from>
        <xdr:to>
          <xdr:col>4</xdr:col>
          <xdr:colOff>19050</xdr:colOff>
          <xdr:row>3</xdr:row>
          <xdr:rowOff>28575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3</xdr:row>
          <xdr:rowOff>57150</xdr:rowOff>
        </xdr:from>
        <xdr:to>
          <xdr:col>4</xdr:col>
          <xdr:colOff>19050</xdr:colOff>
          <xdr:row>4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171450</xdr:colOff>
          <xdr:row>5</xdr:row>
          <xdr:rowOff>9525</xdr:rowOff>
        </xdr:from>
        <xdr:to>
          <xdr:col>4</xdr:col>
          <xdr:colOff>19050</xdr:colOff>
          <xdr:row>6</xdr:row>
          <xdr:rowOff>114300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GL309"/>
  <sheetViews>
    <sheetView tabSelected="1"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K20" sqref="K20"/>
    </sheetView>
  </sheetViews>
  <sheetFormatPr defaultRowHeight="15" x14ac:dyDescent="0.25"/>
  <cols>
    <col min="1" max="1" width="32.85546875" customWidth="1"/>
    <col min="2" max="2" width="8.42578125" customWidth="1"/>
    <col min="3" max="3" width="2.85546875" style="1" customWidth="1"/>
    <col min="4" max="4" width="14.7109375" style="1" customWidth="1"/>
    <col min="5" max="5" width="2.85546875" style="1" customWidth="1"/>
    <col min="6" max="6" width="7.140625" style="18" customWidth="1"/>
    <col min="7" max="7" width="7.140625" style="22" customWidth="1"/>
    <col min="8" max="19" width="7.140625" style="18" customWidth="1"/>
    <col min="20" max="20" width="2.85546875" customWidth="1"/>
    <col min="21" max="21" width="10" style="30" customWidth="1"/>
    <col min="22" max="22" width="7.140625" style="22" customWidth="1"/>
    <col min="23" max="178" width="11.42578125" style="29" customWidth="1"/>
    <col min="179" max="192" width="7.28515625" style="25" customWidth="1"/>
    <col min="193" max="194" width="7.28515625" customWidth="1"/>
  </cols>
  <sheetData>
    <row r="1" spans="1:194" s="27" customFormat="1" ht="15" customHeight="1" x14ac:dyDescent="0.25">
      <c r="A1" s="35" t="s">
        <v>3</v>
      </c>
      <c r="B1" s="35"/>
      <c r="C1" s="2"/>
      <c r="D1" s="2"/>
      <c r="E1" s="2"/>
      <c r="F1" s="19" t="s">
        <v>12</v>
      </c>
      <c r="G1" s="20" t="s">
        <v>0</v>
      </c>
      <c r="H1" s="21" t="s">
        <v>29</v>
      </c>
      <c r="I1" s="21" t="s">
        <v>30</v>
      </c>
      <c r="J1" s="21" t="s">
        <v>31</v>
      </c>
      <c r="K1" s="21" t="s">
        <v>32</v>
      </c>
      <c r="L1" s="21" t="s">
        <v>33</v>
      </c>
      <c r="M1" s="21" t="s">
        <v>34</v>
      </c>
      <c r="N1" s="21" t="s">
        <v>35</v>
      </c>
      <c r="O1" s="21" t="s">
        <v>36</v>
      </c>
      <c r="P1" s="21" t="s">
        <v>37</v>
      </c>
      <c r="Q1" s="21" t="s">
        <v>38</v>
      </c>
      <c r="R1" s="21" t="s">
        <v>39</v>
      </c>
      <c r="S1" s="21" t="s">
        <v>40</v>
      </c>
      <c r="T1" s="13"/>
      <c r="U1" s="31" t="s">
        <v>12</v>
      </c>
      <c r="V1" s="26" t="s">
        <v>0</v>
      </c>
      <c r="W1" s="28"/>
      <c r="X1" s="28"/>
      <c r="Y1" s="28"/>
      <c r="Z1" s="28"/>
      <c r="AA1" s="28"/>
      <c r="AB1" s="28"/>
      <c r="AC1" s="28"/>
      <c r="AD1" s="28"/>
      <c r="AE1" s="28"/>
      <c r="AF1" s="28"/>
      <c r="AG1" s="28"/>
      <c r="AH1" s="28"/>
      <c r="AI1" s="28"/>
      <c r="AJ1" s="28"/>
      <c r="AK1" s="28"/>
      <c r="AL1" s="28"/>
      <c r="AM1" s="28"/>
      <c r="AN1" s="28"/>
      <c r="AO1" s="28"/>
      <c r="AP1" s="28"/>
      <c r="AQ1" s="28"/>
      <c r="AR1" s="28"/>
      <c r="AS1" s="28"/>
      <c r="AT1" s="28"/>
      <c r="AU1" s="28"/>
      <c r="AV1" s="28"/>
      <c r="AW1" s="28"/>
      <c r="AX1" s="28"/>
      <c r="AY1" s="28"/>
      <c r="AZ1" s="28"/>
      <c r="BA1" s="28"/>
      <c r="BB1" s="28"/>
      <c r="BC1" s="28"/>
      <c r="BD1" s="28"/>
      <c r="BE1" s="28"/>
      <c r="BF1" s="28"/>
      <c r="BG1" s="28"/>
      <c r="BH1" s="28"/>
      <c r="BI1" s="28"/>
      <c r="BJ1" s="28"/>
      <c r="BK1" s="28"/>
      <c r="BL1" s="28"/>
      <c r="BM1" s="28"/>
      <c r="BN1" s="28"/>
      <c r="BO1" s="28"/>
      <c r="BP1" s="28"/>
      <c r="BQ1" s="28"/>
      <c r="BR1" s="28"/>
      <c r="BS1" s="28"/>
      <c r="BT1" s="28"/>
      <c r="BU1" s="28"/>
      <c r="BV1" s="28"/>
      <c r="BW1" s="28"/>
      <c r="BX1" s="28"/>
      <c r="BY1" s="28"/>
      <c r="BZ1" s="28"/>
      <c r="CA1" s="28"/>
      <c r="CB1" s="28"/>
      <c r="CC1" s="28"/>
      <c r="CD1" s="28"/>
      <c r="CE1" s="28"/>
      <c r="CF1" s="28"/>
      <c r="CG1" s="28"/>
      <c r="CH1" s="28"/>
      <c r="CI1" s="28"/>
      <c r="CJ1" s="28"/>
      <c r="CK1" s="28"/>
      <c r="CL1" s="28"/>
      <c r="CM1" s="28"/>
      <c r="CN1" s="28"/>
      <c r="CO1" s="28"/>
      <c r="CP1" s="28"/>
      <c r="CQ1" s="28"/>
      <c r="CR1" s="28"/>
      <c r="CS1" s="28"/>
      <c r="CT1" s="28"/>
      <c r="CU1" s="28"/>
      <c r="CV1" s="28"/>
      <c r="CW1" s="28"/>
      <c r="CX1" s="28"/>
      <c r="CY1" s="28"/>
      <c r="CZ1" s="28"/>
      <c r="DA1" s="28"/>
      <c r="DB1" s="28"/>
      <c r="DC1" s="28"/>
      <c r="DD1" s="28"/>
      <c r="DE1" s="28"/>
      <c r="DF1" s="28"/>
      <c r="DG1" s="28"/>
      <c r="DH1" s="28"/>
      <c r="DI1" s="28"/>
      <c r="DJ1" s="28"/>
      <c r="DK1" s="28"/>
      <c r="DL1" s="28"/>
      <c r="DM1" s="28"/>
      <c r="DN1" s="28"/>
      <c r="DO1" s="28"/>
      <c r="DP1" s="28"/>
      <c r="DQ1" s="28"/>
      <c r="DR1" s="28"/>
      <c r="DS1" s="28"/>
      <c r="DT1" s="28"/>
      <c r="DU1" s="28"/>
      <c r="DV1" s="28"/>
      <c r="DW1" s="28"/>
      <c r="DX1" s="28"/>
      <c r="DY1" s="28"/>
      <c r="DZ1" s="28"/>
      <c r="EA1" s="28"/>
      <c r="EB1" s="28"/>
      <c r="EC1" s="28"/>
      <c r="ED1" s="28"/>
      <c r="EE1" s="28"/>
      <c r="EF1" s="28"/>
      <c r="EG1" s="28"/>
      <c r="EH1" s="28"/>
      <c r="EI1" s="28"/>
      <c r="EJ1" s="28"/>
      <c r="EK1" s="28"/>
      <c r="EL1" s="28"/>
      <c r="EM1" s="28"/>
      <c r="EN1" s="28"/>
      <c r="EO1" s="28"/>
      <c r="EP1" s="28"/>
      <c r="EQ1" s="28"/>
      <c r="ER1" s="28"/>
      <c r="ES1" s="28"/>
      <c r="ET1" s="28"/>
      <c r="EU1" s="28"/>
      <c r="EV1" s="28"/>
      <c r="EW1" s="28"/>
      <c r="EX1" s="28"/>
      <c r="EY1" s="28"/>
      <c r="EZ1" s="28"/>
      <c r="FA1" s="28"/>
      <c r="FB1" s="28"/>
      <c r="FC1" s="28"/>
      <c r="FD1" s="28"/>
      <c r="FE1" s="28"/>
      <c r="FF1" s="28"/>
      <c r="FG1" s="28"/>
      <c r="FH1" s="28"/>
      <c r="FI1" s="28"/>
      <c r="FJ1" s="28"/>
      <c r="FK1" s="28"/>
      <c r="FL1" s="28"/>
      <c r="FM1" s="28"/>
      <c r="FN1" s="28"/>
      <c r="FO1" s="28"/>
      <c r="FP1" s="28"/>
      <c r="FQ1" s="28"/>
      <c r="FR1" s="28"/>
      <c r="FS1" s="28"/>
      <c r="FT1" s="28"/>
      <c r="FU1" s="28"/>
      <c r="FV1" s="28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</row>
    <row r="2" spans="1:194" x14ac:dyDescent="0.25">
      <c r="A2" s="3" t="s">
        <v>1</v>
      </c>
      <c r="B2" s="8">
        <v>44100</v>
      </c>
    </row>
    <row r="3" spans="1:194" x14ac:dyDescent="0.25">
      <c r="A3" s="4" t="s">
        <v>4</v>
      </c>
      <c r="B3" s="9">
        <v>2048</v>
      </c>
    </row>
    <row r="4" spans="1:194" x14ac:dyDescent="0.25">
      <c r="A4" s="4" t="s">
        <v>5</v>
      </c>
      <c r="B4" s="9">
        <v>1024</v>
      </c>
    </row>
    <row r="5" spans="1:194" x14ac:dyDescent="0.25">
      <c r="A5" s="4" t="s">
        <v>6</v>
      </c>
      <c r="B5" s="9">
        <v>64</v>
      </c>
    </row>
    <row r="6" spans="1:194" x14ac:dyDescent="0.25">
      <c r="A6" s="5" t="s">
        <v>7</v>
      </c>
      <c r="B6" s="10">
        <v>32</v>
      </c>
    </row>
    <row r="7" spans="1:194" x14ac:dyDescent="0.25">
      <c r="C7"/>
      <c r="D7"/>
      <c r="E7"/>
    </row>
    <row r="8" spans="1:194" x14ac:dyDescent="0.25">
      <c r="A8" s="33" t="s">
        <v>8</v>
      </c>
      <c r="B8" s="34"/>
      <c r="D8" s="17"/>
    </row>
    <row r="9" spans="1:194" x14ac:dyDescent="0.25">
      <c r="A9" s="3" t="s">
        <v>2</v>
      </c>
      <c r="B9" s="11">
        <f>B3*B5-(B3-B4)*(B5-1)</f>
        <v>66560</v>
      </c>
      <c r="D9" s="17"/>
    </row>
    <row r="10" spans="1:194" x14ac:dyDescent="0.25">
      <c r="A10" s="5" t="s">
        <v>9</v>
      </c>
      <c r="B10" s="12">
        <f>B4*B6</f>
        <v>32768</v>
      </c>
      <c r="D10" s="17"/>
    </row>
    <row r="12" spans="1:194" x14ac:dyDescent="0.25">
      <c r="A12" s="38" t="s">
        <v>11</v>
      </c>
      <c r="B12" s="38"/>
    </row>
    <row r="13" spans="1:194" x14ac:dyDescent="0.25">
      <c r="A13" s="15" t="s">
        <v>14</v>
      </c>
      <c r="B13" s="8"/>
    </row>
    <row r="14" spans="1:194" x14ac:dyDescent="0.25">
      <c r="A14" s="16" t="s">
        <v>15</v>
      </c>
      <c r="B14" s="9"/>
    </row>
    <row r="15" spans="1:194" x14ac:dyDescent="0.25">
      <c r="A15" s="16" t="s">
        <v>13</v>
      </c>
      <c r="B15" s="9" t="s">
        <v>21</v>
      </c>
    </row>
    <row r="16" spans="1:194" x14ac:dyDescent="0.25">
      <c r="A16" s="16" t="s">
        <v>25</v>
      </c>
      <c r="B16" s="9" t="s">
        <v>21</v>
      </c>
    </row>
    <row r="17" spans="1:192" x14ac:dyDescent="0.25">
      <c r="A17" s="16" t="s">
        <v>27</v>
      </c>
      <c r="B17" s="9"/>
    </row>
    <row r="18" spans="1:192" x14ac:dyDescent="0.25">
      <c r="A18" s="16" t="s">
        <v>16</v>
      </c>
      <c r="B18" s="9"/>
    </row>
    <row r="19" spans="1:192" x14ac:dyDescent="0.25">
      <c r="A19" s="16" t="s">
        <v>17</v>
      </c>
      <c r="B19" s="9"/>
    </row>
    <row r="20" spans="1:192" x14ac:dyDescent="0.25">
      <c r="A20" s="16" t="s">
        <v>19</v>
      </c>
      <c r="B20" s="9"/>
    </row>
    <row r="21" spans="1:192" x14ac:dyDescent="0.25">
      <c r="A21" s="16" t="s">
        <v>20</v>
      </c>
      <c r="B21" s="9"/>
    </row>
    <row r="22" spans="1:192" x14ac:dyDescent="0.25">
      <c r="A22" s="16" t="s">
        <v>41</v>
      </c>
      <c r="B22" s="9" t="s">
        <v>21</v>
      </c>
    </row>
    <row r="23" spans="1:192" x14ac:dyDescent="0.25">
      <c r="A23" s="4" t="s">
        <v>18</v>
      </c>
      <c r="B23" s="9" t="s">
        <v>21</v>
      </c>
    </row>
    <row r="24" spans="1:192" x14ac:dyDescent="0.25">
      <c r="A24" s="16" t="s">
        <v>24</v>
      </c>
      <c r="B24" s="9" t="s">
        <v>21</v>
      </c>
    </row>
    <row r="25" spans="1:192" s="14" customFormat="1" x14ac:dyDescent="0.25">
      <c r="A25" s="4" t="s">
        <v>28</v>
      </c>
      <c r="B25" s="9" t="s">
        <v>21</v>
      </c>
      <c r="C25" s="1"/>
      <c r="D25" s="1"/>
      <c r="E25" s="1"/>
      <c r="F25" s="18"/>
      <c r="G25" s="22"/>
      <c r="H25" s="18"/>
      <c r="I25" s="18"/>
      <c r="J25" s="18"/>
      <c r="K25" s="18"/>
      <c r="L25" s="18"/>
      <c r="M25" s="18"/>
      <c r="N25" s="18"/>
      <c r="O25" s="18"/>
      <c r="P25" s="18"/>
      <c r="Q25" s="18"/>
      <c r="R25" s="18"/>
      <c r="S25" s="18"/>
      <c r="U25" s="30"/>
      <c r="V25" s="22"/>
      <c r="W25" s="29"/>
      <c r="X25" s="29"/>
      <c r="Y25" s="29"/>
      <c r="Z25" s="29"/>
      <c r="AA25" s="29"/>
      <c r="AB25" s="29"/>
      <c r="AC25" s="29"/>
      <c r="AD25" s="29"/>
      <c r="AE25" s="29"/>
      <c r="AF25" s="29"/>
      <c r="AG25" s="29"/>
      <c r="AH25" s="29"/>
      <c r="AI25" s="29"/>
      <c r="AJ25" s="29"/>
      <c r="AK25" s="29"/>
      <c r="AL25" s="29"/>
      <c r="AM25" s="29"/>
      <c r="AN25" s="29"/>
      <c r="AO25" s="29"/>
      <c r="AP25" s="29"/>
      <c r="AQ25" s="29"/>
      <c r="AR25" s="29"/>
      <c r="AS25" s="29"/>
      <c r="AT25" s="29"/>
      <c r="AU25" s="29"/>
      <c r="AV25" s="29"/>
      <c r="AW25" s="29"/>
      <c r="AX25" s="29"/>
      <c r="AY25" s="29"/>
      <c r="AZ25" s="29"/>
      <c r="BA25" s="29"/>
      <c r="BB25" s="29"/>
      <c r="BC25" s="29"/>
      <c r="BD25" s="29"/>
      <c r="BE25" s="29"/>
      <c r="BF25" s="29"/>
      <c r="BG25" s="29"/>
      <c r="BH25" s="29"/>
      <c r="BI25" s="29"/>
      <c r="BJ25" s="29"/>
      <c r="BK25" s="29"/>
      <c r="BL25" s="29"/>
      <c r="BM25" s="29"/>
      <c r="BN25" s="29"/>
      <c r="BO25" s="29"/>
      <c r="BP25" s="29"/>
      <c r="BQ25" s="29"/>
      <c r="BR25" s="29"/>
      <c r="BS25" s="29"/>
      <c r="BT25" s="29"/>
      <c r="BU25" s="29"/>
      <c r="BV25" s="29"/>
      <c r="BW25" s="29"/>
      <c r="BX25" s="29"/>
      <c r="BY25" s="29"/>
      <c r="BZ25" s="29"/>
      <c r="CA25" s="29"/>
      <c r="CB25" s="29"/>
      <c r="CC25" s="29"/>
      <c r="CD25" s="29"/>
      <c r="CE25" s="29"/>
      <c r="CF25" s="29"/>
      <c r="CG25" s="29"/>
      <c r="CH25" s="29"/>
      <c r="CI25" s="29"/>
      <c r="CJ25" s="29"/>
      <c r="CK25" s="29"/>
      <c r="CL25" s="29"/>
      <c r="CM25" s="29"/>
      <c r="CN25" s="29"/>
      <c r="CO25" s="29"/>
      <c r="CP25" s="29"/>
      <c r="CQ25" s="29"/>
      <c r="CR25" s="29"/>
      <c r="CS25" s="29"/>
      <c r="CT25" s="29"/>
      <c r="CU25" s="29"/>
      <c r="CV25" s="29"/>
      <c r="CW25" s="29"/>
      <c r="CX25" s="29"/>
      <c r="CY25" s="29"/>
      <c r="CZ25" s="29"/>
      <c r="DA25" s="29"/>
      <c r="DB25" s="29"/>
      <c r="DC25" s="29"/>
      <c r="DD25" s="29"/>
      <c r="DE25" s="29"/>
      <c r="DF25" s="29"/>
      <c r="DG25" s="29"/>
      <c r="DH25" s="29"/>
      <c r="DI25" s="29"/>
      <c r="DJ25" s="29"/>
      <c r="DK25" s="29"/>
      <c r="DL25" s="29"/>
      <c r="DM25" s="29"/>
      <c r="DN25" s="29"/>
      <c r="DO25" s="29"/>
      <c r="DP25" s="29"/>
      <c r="DQ25" s="29"/>
      <c r="DR25" s="29"/>
      <c r="DS25" s="29"/>
      <c r="DT25" s="29"/>
      <c r="DU25" s="29"/>
      <c r="DV25" s="29"/>
      <c r="DW25" s="29"/>
      <c r="DX25" s="29"/>
      <c r="DY25" s="29"/>
      <c r="DZ25" s="29"/>
      <c r="EA25" s="29"/>
      <c r="EB25" s="29"/>
      <c r="EC25" s="29"/>
      <c r="ED25" s="29"/>
      <c r="EE25" s="29"/>
      <c r="EF25" s="29"/>
      <c r="EG25" s="29"/>
      <c r="EH25" s="29"/>
      <c r="EI25" s="29"/>
      <c r="EJ25" s="29"/>
      <c r="EK25" s="29"/>
      <c r="EL25" s="29"/>
      <c r="EM25" s="29"/>
      <c r="EN25" s="29"/>
      <c r="EO25" s="29"/>
      <c r="EP25" s="29"/>
      <c r="EQ25" s="29"/>
      <c r="ER25" s="29"/>
      <c r="ES25" s="29"/>
      <c r="ET25" s="29"/>
      <c r="EU25" s="29"/>
      <c r="EV25" s="29"/>
      <c r="EW25" s="29"/>
      <c r="EX25" s="29"/>
      <c r="EY25" s="29"/>
      <c r="EZ25" s="29"/>
      <c r="FA25" s="29"/>
      <c r="FB25" s="29"/>
      <c r="FC25" s="29"/>
      <c r="FD25" s="29"/>
      <c r="FE25" s="29"/>
      <c r="FF25" s="29"/>
      <c r="FG25" s="29"/>
      <c r="FH25" s="29"/>
      <c r="FI25" s="29"/>
      <c r="FJ25" s="29"/>
      <c r="FK25" s="29"/>
      <c r="FL25" s="29"/>
      <c r="FM25" s="29"/>
      <c r="FN25" s="29"/>
      <c r="FO25" s="29"/>
      <c r="FP25" s="29"/>
      <c r="FQ25" s="29"/>
      <c r="FR25" s="29"/>
      <c r="FS25" s="29"/>
      <c r="FT25" s="29"/>
      <c r="FU25" s="29"/>
      <c r="FV25" s="29"/>
      <c r="FW25" s="25"/>
      <c r="FX25" s="25"/>
      <c r="FY25" s="25"/>
      <c r="FZ25" s="25"/>
      <c r="GA25" s="25"/>
      <c r="GB25" s="25"/>
      <c r="GC25" s="25"/>
      <c r="GD25" s="25"/>
      <c r="GE25" s="25"/>
      <c r="GF25" s="25"/>
      <c r="GG25" s="25"/>
      <c r="GH25" s="25"/>
      <c r="GI25" s="25"/>
      <c r="GJ25" s="25"/>
    </row>
    <row r="26" spans="1:192" s="14" customFormat="1" x14ac:dyDescent="0.25">
      <c r="A26" s="16"/>
      <c r="B26" s="9"/>
      <c r="C26" s="1"/>
      <c r="D26" s="1"/>
      <c r="E26" s="1"/>
      <c r="F26" s="18"/>
      <c r="G26" s="22"/>
      <c r="H26" s="18"/>
      <c r="I26" s="18"/>
      <c r="J26" s="18"/>
      <c r="K26" s="18"/>
      <c r="L26" s="18"/>
      <c r="M26" s="18"/>
      <c r="N26" s="18"/>
      <c r="O26" s="18"/>
      <c r="P26" s="18"/>
      <c r="Q26" s="18"/>
      <c r="R26" s="18"/>
      <c r="S26" s="18"/>
      <c r="U26" s="30"/>
      <c r="V26" s="22"/>
      <c r="W26" s="29"/>
      <c r="X26" s="29"/>
      <c r="Y26" s="29"/>
      <c r="Z26" s="29"/>
      <c r="AA26" s="29"/>
      <c r="AB26" s="29"/>
      <c r="AC26" s="29"/>
      <c r="AD26" s="29"/>
      <c r="AE26" s="29"/>
      <c r="AF26" s="29"/>
      <c r="AG26" s="29"/>
      <c r="AH26" s="29"/>
      <c r="AI26" s="29"/>
      <c r="AJ26" s="29"/>
      <c r="AK26" s="29"/>
      <c r="AL26" s="29"/>
      <c r="AM26" s="29"/>
      <c r="AN26" s="29"/>
      <c r="AO26" s="29"/>
      <c r="AP26" s="29"/>
      <c r="AQ26" s="29"/>
      <c r="AR26" s="29"/>
      <c r="AS26" s="29"/>
      <c r="AT26" s="29"/>
      <c r="AU26" s="29"/>
      <c r="AV26" s="29"/>
      <c r="AW26" s="29"/>
      <c r="AX26" s="29"/>
      <c r="AY26" s="29"/>
      <c r="AZ26" s="29"/>
      <c r="BA26" s="29"/>
      <c r="BB26" s="29"/>
      <c r="BC26" s="29"/>
      <c r="BD26" s="29"/>
      <c r="BE26" s="29"/>
      <c r="BF26" s="29"/>
      <c r="BG26" s="29"/>
      <c r="BH26" s="29"/>
      <c r="BI26" s="29"/>
      <c r="BJ26" s="29"/>
      <c r="BK26" s="29"/>
      <c r="BL26" s="29"/>
      <c r="BM26" s="29"/>
      <c r="BN26" s="29"/>
      <c r="BO26" s="29"/>
      <c r="BP26" s="29"/>
      <c r="BQ26" s="29"/>
      <c r="BR26" s="29"/>
      <c r="BS26" s="29"/>
      <c r="BT26" s="29"/>
      <c r="BU26" s="29"/>
      <c r="BV26" s="29"/>
      <c r="BW26" s="29"/>
      <c r="BX26" s="29"/>
      <c r="BY26" s="29"/>
      <c r="BZ26" s="29"/>
      <c r="CA26" s="29"/>
      <c r="CB26" s="29"/>
      <c r="CC26" s="29"/>
      <c r="CD26" s="29"/>
      <c r="CE26" s="29"/>
      <c r="CF26" s="29"/>
      <c r="CG26" s="29"/>
      <c r="CH26" s="29"/>
      <c r="CI26" s="29"/>
      <c r="CJ26" s="29"/>
      <c r="CK26" s="29"/>
      <c r="CL26" s="29"/>
      <c r="CM26" s="29"/>
      <c r="CN26" s="29"/>
      <c r="CO26" s="29"/>
      <c r="CP26" s="29"/>
      <c r="CQ26" s="29"/>
      <c r="CR26" s="29"/>
      <c r="CS26" s="29"/>
      <c r="CT26" s="29"/>
      <c r="CU26" s="29"/>
      <c r="CV26" s="29"/>
      <c r="CW26" s="29"/>
      <c r="CX26" s="29"/>
      <c r="CY26" s="29"/>
      <c r="CZ26" s="29"/>
      <c r="DA26" s="29"/>
      <c r="DB26" s="29"/>
      <c r="DC26" s="29"/>
      <c r="DD26" s="29"/>
      <c r="DE26" s="29"/>
      <c r="DF26" s="29"/>
      <c r="DG26" s="29"/>
      <c r="DH26" s="29"/>
      <c r="DI26" s="29"/>
      <c r="DJ26" s="29"/>
      <c r="DK26" s="29"/>
      <c r="DL26" s="29"/>
      <c r="DM26" s="29"/>
      <c r="DN26" s="29"/>
      <c r="DO26" s="29"/>
      <c r="DP26" s="29"/>
      <c r="DQ26" s="29"/>
      <c r="DR26" s="29"/>
      <c r="DS26" s="29"/>
      <c r="DT26" s="29"/>
      <c r="DU26" s="29"/>
      <c r="DV26" s="29"/>
      <c r="DW26" s="29"/>
      <c r="DX26" s="29"/>
      <c r="DY26" s="29"/>
      <c r="DZ26" s="29"/>
      <c r="EA26" s="29"/>
      <c r="EB26" s="29"/>
      <c r="EC26" s="29"/>
      <c r="ED26" s="29"/>
      <c r="EE26" s="29"/>
      <c r="EF26" s="29"/>
      <c r="EG26" s="29"/>
      <c r="EH26" s="29"/>
      <c r="EI26" s="29"/>
      <c r="EJ26" s="29"/>
      <c r="EK26" s="29"/>
      <c r="EL26" s="29"/>
      <c r="EM26" s="29"/>
      <c r="EN26" s="29"/>
      <c r="EO26" s="29"/>
      <c r="EP26" s="29"/>
      <c r="EQ26" s="29"/>
      <c r="ER26" s="29"/>
      <c r="ES26" s="29"/>
      <c r="ET26" s="29"/>
      <c r="EU26" s="29"/>
      <c r="EV26" s="29"/>
      <c r="EW26" s="29"/>
      <c r="EX26" s="29"/>
      <c r="EY26" s="29"/>
      <c r="EZ26" s="29"/>
      <c r="FA26" s="29"/>
      <c r="FB26" s="29"/>
      <c r="FC26" s="29"/>
      <c r="FD26" s="29"/>
      <c r="FE26" s="29"/>
      <c r="FF26" s="29"/>
      <c r="FG26" s="29"/>
      <c r="FH26" s="29"/>
      <c r="FI26" s="29"/>
      <c r="FJ26" s="29"/>
      <c r="FK26" s="29"/>
      <c r="FL26" s="29"/>
      <c r="FM26" s="29"/>
      <c r="FN26" s="29"/>
      <c r="FO26" s="29"/>
      <c r="FP26" s="29"/>
      <c r="FQ26" s="29"/>
      <c r="FR26" s="29"/>
      <c r="FS26" s="29"/>
      <c r="FT26" s="29"/>
      <c r="FU26" s="29"/>
      <c r="FV26" s="29"/>
      <c r="FW26" s="25"/>
      <c r="FX26" s="25"/>
      <c r="FY26" s="25"/>
      <c r="FZ26" s="25"/>
      <c r="GA26" s="25"/>
      <c r="GB26" s="25"/>
      <c r="GC26" s="25"/>
      <c r="GD26" s="25"/>
      <c r="GE26" s="25"/>
      <c r="GF26" s="25"/>
      <c r="GG26" s="25"/>
      <c r="GH26" s="25"/>
      <c r="GI26" s="25"/>
      <c r="GJ26" s="25"/>
    </row>
    <row r="27" spans="1:192" s="14" customFormat="1" x14ac:dyDescent="0.25">
      <c r="A27" s="16"/>
      <c r="B27" s="9"/>
      <c r="C27" s="1"/>
      <c r="D27" s="1"/>
      <c r="E27" s="1"/>
      <c r="F27" s="18"/>
      <c r="G27" s="22"/>
      <c r="H27" s="18"/>
      <c r="I27" s="18"/>
      <c r="J27" s="18"/>
      <c r="K27" s="18"/>
      <c r="L27" s="18"/>
      <c r="M27" s="18"/>
      <c r="N27" s="18"/>
      <c r="O27" s="18"/>
      <c r="P27" s="18"/>
      <c r="Q27" s="18"/>
      <c r="R27" s="18"/>
      <c r="S27" s="18"/>
      <c r="U27" s="30"/>
      <c r="V27" s="22"/>
      <c r="W27" s="29"/>
      <c r="X27" s="29"/>
      <c r="Y27" s="29"/>
      <c r="Z27" s="29"/>
      <c r="AA27" s="29"/>
      <c r="AB27" s="29"/>
      <c r="AC27" s="29"/>
      <c r="AD27" s="29"/>
      <c r="AE27" s="29"/>
      <c r="AF27" s="29"/>
      <c r="AG27" s="29"/>
      <c r="AH27" s="29"/>
      <c r="AI27" s="29"/>
      <c r="AJ27" s="29"/>
      <c r="AK27" s="29"/>
      <c r="AL27" s="29"/>
      <c r="AM27" s="29"/>
      <c r="AN27" s="29"/>
      <c r="AO27" s="29"/>
      <c r="AP27" s="29"/>
      <c r="AQ27" s="29"/>
      <c r="AR27" s="29"/>
      <c r="AS27" s="29"/>
      <c r="AT27" s="29"/>
      <c r="AU27" s="29"/>
      <c r="AV27" s="29"/>
      <c r="AW27" s="29"/>
      <c r="AX27" s="29"/>
      <c r="AY27" s="29"/>
      <c r="AZ27" s="29"/>
      <c r="BA27" s="29"/>
      <c r="BB27" s="29"/>
      <c r="BC27" s="29"/>
      <c r="BD27" s="29"/>
      <c r="BE27" s="29"/>
      <c r="BF27" s="29"/>
      <c r="BG27" s="29"/>
      <c r="BH27" s="29"/>
      <c r="BI27" s="29"/>
      <c r="BJ27" s="29"/>
      <c r="BK27" s="29"/>
      <c r="BL27" s="29"/>
      <c r="BM27" s="29"/>
      <c r="BN27" s="29"/>
      <c r="BO27" s="29"/>
      <c r="BP27" s="29"/>
      <c r="BQ27" s="29"/>
      <c r="BR27" s="29"/>
      <c r="BS27" s="29"/>
      <c r="BT27" s="29"/>
      <c r="BU27" s="29"/>
      <c r="BV27" s="29"/>
      <c r="BW27" s="29"/>
      <c r="BX27" s="29"/>
      <c r="BY27" s="29"/>
      <c r="BZ27" s="29"/>
      <c r="CA27" s="29"/>
      <c r="CB27" s="29"/>
      <c r="CC27" s="29"/>
      <c r="CD27" s="29"/>
      <c r="CE27" s="29"/>
      <c r="CF27" s="29"/>
      <c r="CG27" s="29"/>
      <c r="CH27" s="29"/>
      <c r="CI27" s="29"/>
      <c r="CJ27" s="29"/>
      <c r="CK27" s="29"/>
      <c r="CL27" s="29"/>
      <c r="CM27" s="29"/>
      <c r="CN27" s="29"/>
      <c r="CO27" s="29"/>
      <c r="CP27" s="29"/>
      <c r="CQ27" s="29"/>
      <c r="CR27" s="29"/>
      <c r="CS27" s="29"/>
      <c r="CT27" s="29"/>
      <c r="CU27" s="29"/>
      <c r="CV27" s="29"/>
      <c r="CW27" s="29"/>
      <c r="CX27" s="29"/>
      <c r="CY27" s="29"/>
      <c r="CZ27" s="29"/>
      <c r="DA27" s="29"/>
      <c r="DB27" s="29"/>
      <c r="DC27" s="29"/>
      <c r="DD27" s="29"/>
      <c r="DE27" s="29"/>
      <c r="DF27" s="29"/>
      <c r="DG27" s="29"/>
      <c r="DH27" s="29"/>
      <c r="DI27" s="29"/>
      <c r="DJ27" s="29"/>
      <c r="DK27" s="29"/>
      <c r="DL27" s="29"/>
      <c r="DM27" s="29"/>
      <c r="DN27" s="29"/>
      <c r="DO27" s="29"/>
      <c r="DP27" s="29"/>
      <c r="DQ27" s="29"/>
      <c r="DR27" s="29"/>
      <c r="DS27" s="29"/>
      <c r="DT27" s="29"/>
      <c r="DU27" s="29"/>
      <c r="DV27" s="29"/>
      <c r="DW27" s="29"/>
      <c r="DX27" s="29"/>
      <c r="DY27" s="29"/>
      <c r="DZ27" s="29"/>
      <c r="EA27" s="29"/>
      <c r="EB27" s="29"/>
      <c r="EC27" s="29"/>
      <c r="ED27" s="29"/>
      <c r="EE27" s="29"/>
      <c r="EF27" s="29"/>
      <c r="EG27" s="29"/>
      <c r="EH27" s="29"/>
      <c r="EI27" s="29"/>
      <c r="EJ27" s="29"/>
      <c r="EK27" s="29"/>
      <c r="EL27" s="29"/>
      <c r="EM27" s="29"/>
      <c r="EN27" s="29"/>
      <c r="EO27" s="29"/>
      <c r="EP27" s="29"/>
      <c r="EQ27" s="29"/>
      <c r="ER27" s="29"/>
      <c r="ES27" s="29"/>
      <c r="ET27" s="29"/>
      <c r="EU27" s="29"/>
      <c r="EV27" s="29"/>
      <c r="EW27" s="29"/>
      <c r="EX27" s="29"/>
      <c r="EY27" s="29"/>
      <c r="EZ27" s="29"/>
      <c r="FA27" s="29"/>
      <c r="FB27" s="29"/>
      <c r="FC27" s="29"/>
      <c r="FD27" s="29"/>
      <c r="FE27" s="29"/>
      <c r="FF27" s="29"/>
      <c r="FG27" s="29"/>
      <c r="FH27" s="29"/>
      <c r="FI27" s="29"/>
      <c r="FJ27" s="29"/>
      <c r="FK27" s="29"/>
      <c r="FL27" s="29"/>
      <c r="FM27" s="29"/>
      <c r="FN27" s="29"/>
      <c r="FO27" s="29"/>
      <c r="FP27" s="29"/>
      <c r="FQ27" s="29"/>
      <c r="FR27" s="29"/>
      <c r="FS27" s="29"/>
      <c r="FT27" s="29"/>
      <c r="FU27" s="29"/>
      <c r="FV27" s="29"/>
      <c r="FW27" s="25"/>
      <c r="FX27" s="25"/>
      <c r="FY27" s="25"/>
      <c r="FZ27" s="25"/>
      <c r="GA27" s="25"/>
      <c r="GB27" s="25"/>
      <c r="GC27" s="25"/>
      <c r="GD27" s="25"/>
      <c r="GE27" s="25"/>
      <c r="GF27" s="25"/>
      <c r="GG27" s="25"/>
      <c r="GH27" s="25"/>
      <c r="GI27" s="25"/>
      <c r="GJ27" s="25"/>
    </row>
    <row r="28" spans="1:192" s="14" customFormat="1" x14ac:dyDescent="0.25">
      <c r="A28" s="23" t="s">
        <v>26</v>
      </c>
      <c r="B28" s="24">
        <f>COUNTA(A13:A27)</f>
        <v>13</v>
      </c>
      <c r="C28" s="1"/>
      <c r="D28" s="1"/>
      <c r="E28" s="1"/>
      <c r="F28" s="18"/>
      <c r="G28" s="22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U28" s="30"/>
      <c r="V28" s="22"/>
      <c r="W28" s="29"/>
      <c r="X28" s="29"/>
      <c r="Y28" s="29"/>
      <c r="Z28" s="29"/>
      <c r="AA28" s="29"/>
      <c r="AB28" s="29"/>
      <c r="AC28" s="29"/>
      <c r="AD28" s="29"/>
      <c r="AE28" s="29"/>
      <c r="AF28" s="29"/>
      <c r="AG28" s="29"/>
      <c r="AH28" s="29"/>
      <c r="AI28" s="29"/>
      <c r="AJ28" s="29"/>
      <c r="AK28" s="29"/>
      <c r="AL28" s="29"/>
      <c r="AM28" s="29"/>
      <c r="AN28" s="29"/>
      <c r="AO28" s="29"/>
      <c r="AP28" s="29"/>
      <c r="AQ28" s="29"/>
      <c r="AR28" s="29"/>
      <c r="AS28" s="29"/>
      <c r="AT28" s="29"/>
      <c r="AU28" s="29"/>
      <c r="AV28" s="29"/>
      <c r="AW28" s="29"/>
      <c r="AX28" s="29"/>
      <c r="AY28" s="29"/>
      <c r="AZ28" s="29"/>
      <c r="BA28" s="29"/>
      <c r="BB28" s="29"/>
      <c r="BC28" s="29"/>
      <c r="BD28" s="29"/>
      <c r="BE28" s="29"/>
      <c r="BF28" s="29"/>
      <c r="BG28" s="29"/>
      <c r="BH28" s="29"/>
      <c r="BI28" s="29"/>
      <c r="BJ28" s="29"/>
      <c r="BK28" s="29"/>
      <c r="BL28" s="29"/>
      <c r="BM28" s="29"/>
      <c r="BN28" s="29"/>
      <c r="BO28" s="29"/>
      <c r="BP28" s="29"/>
      <c r="BQ28" s="29"/>
      <c r="BR28" s="29"/>
      <c r="BS28" s="29"/>
      <c r="BT28" s="29"/>
      <c r="BU28" s="29"/>
      <c r="BV28" s="29"/>
      <c r="BW28" s="29"/>
      <c r="BX28" s="29"/>
      <c r="BY28" s="29"/>
      <c r="BZ28" s="29"/>
      <c r="CA28" s="29"/>
      <c r="CB28" s="29"/>
      <c r="CC28" s="29"/>
      <c r="CD28" s="29"/>
      <c r="CE28" s="29"/>
      <c r="CF28" s="29"/>
      <c r="CG28" s="29"/>
      <c r="CH28" s="29"/>
      <c r="CI28" s="29"/>
      <c r="CJ28" s="29"/>
      <c r="CK28" s="29"/>
      <c r="CL28" s="29"/>
      <c r="CM28" s="29"/>
      <c r="CN28" s="29"/>
      <c r="CO28" s="29"/>
      <c r="CP28" s="29"/>
      <c r="CQ28" s="29"/>
      <c r="CR28" s="29"/>
      <c r="CS28" s="29"/>
      <c r="CT28" s="29"/>
      <c r="CU28" s="29"/>
      <c r="CV28" s="29"/>
      <c r="CW28" s="29"/>
      <c r="CX28" s="29"/>
      <c r="CY28" s="29"/>
      <c r="CZ28" s="29"/>
      <c r="DA28" s="29"/>
      <c r="DB28" s="29"/>
      <c r="DC28" s="29"/>
      <c r="DD28" s="29"/>
      <c r="DE28" s="29"/>
      <c r="DF28" s="29"/>
      <c r="DG28" s="29"/>
      <c r="DH28" s="29"/>
      <c r="DI28" s="29"/>
      <c r="DJ28" s="29"/>
      <c r="DK28" s="29"/>
      <c r="DL28" s="29"/>
      <c r="DM28" s="29"/>
      <c r="DN28" s="29"/>
      <c r="DO28" s="29"/>
      <c r="DP28" s="29"/>
      <c r="DQ28" s="29"/>
      <c r="DR28" s="29"/>
      <c r="DS28" s="29"/>
      <c r="DT28" s="29"/>
      <c r="DU28" s="29"/>
      <c r="DV28" s="29"/>
      <c r="DW28" s="29"/>
      <c r="DX28" s="29"/>
      <c r="DY28" s="29"/>
      <c r="DZ28" s="29"/>
      <c r="EA28" s="29"/>
      <c r="EB28" s="29"/>
      <c r="EC28" s="29"/>
      <c r="ED28" s="29"/>
      <c r="EE28" s="29"/>
      <c r="EF28" s="29"/>
      <c r="EG28" s="29"/>
      <c r="EH28" s="29"/>
      <c r="EI28" s="29"/>
      <c r="EJ28" s="29"/>
      <c r="EK28" s="29"/>
      <c r="EL28" s="29"/>
      <c r="EM28" s="29"/>
      <c r="EN28" s="29"/>
      <c r="EO28" s="29"/>
      <c r="EP28" s="29"/>
      <c r="EQ28" s="29"/>
      <c r="ER28" s="29"/>
      <c r="ES28" s="29"/>
      <c r="ET28" s="29"/>
      <c r="EU28" s="29"/>
      <c r="EV28" s="29"/>
      <c r="EW28" s="29"/>
      <c r="EX28" s="29"/>
      <c r="EY28" s="29"/>
      <c r="EZ28" s="29"/>
      <c r="FA28" s="29"/>
      <c r="FB28" s="29"/>
      <c r="FC28" s="29"/>
      <c r="FD28" s="29"/>
      <c r="FE28" s="29"/>
      <c r="FF28" s="29"/>
      <c r="FG28" s="29"/>
      <c r="FH28" s="29"/>
      <c r="FI28" s="29"/>
      <c r="FJ28" s="29"/>
      <c r="FK28" s="29"/>
      <c r="FL28" s="29"/>
      <c r="FM28" s="29"/>
      <c r="FN28" s="29"/>
      <c r="FO28" s="29"/>
      <c r="FP28" s="29"/>
      <c r="FQ28" s="29"/>
      <c r="FR28" s="29"/>
      <c r="FS28" s="29"/>
      <c r="FT28" s="29"/>
      <c r="FU28" s="29"/>
      <c r="FV28" s="29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</row>
    <row r="30" spans="1:192" x14ac:dyDescent="0.25">
      <c r="A30" s="36" t="s">
        <v>10</v>
      </c>
      <c r="B30" s="36"/>
    </row>
    <row r="31" spans="1:192" x14ac:dyDescent="0.25">
      <c r="A31" s="37" t="s">
        <v>11</v>
      </c>
      <c r="B31" s="37"/>
    </row>
    <row r="33" spans="1:2" ht="15" customHeight="1" x14ac:dyDescent="0.25">
      <c r="A33" s="32" t="s">
        <v>22</v>
      </c>
      <c r="B33" s="32"/>
    </row>
    <row r="34" spans="1:2" x14ac:dyDescent="0.25">
      <c r="A34" s="32"/>
      <c r="B34" s="32"/>
    </row>
    <row r="35" spans="1:2" x14ac:dyDescent="0.25">
      <c r="A35" s="32"/>
      <c r="B35" s="32"/>
    </row>
    <row r="37" spans="1:2" x14ac:dyDescent="0.25">
      <c r="A37" s="32" t="s">
        <v>23</v>
      </c>
      <c r="B37" s="32"/>
    </row>
    <row r="38" spans="1:2" x14ac:dyDescent="0.25">
      <c r="A38" s="32"/>
      <c r="B38" s="32"/>
    </row>
    <row r="39" spans="1:2" x14ac:dyDescent="0.25">
      <c r="A39" s="32"/>
      <c r="B39" s="32"/>
    </row>
    <row r="209" spans="3:5" x14ac:dyDescent="0.25">
      <c r="C209" s="6"/>
      <c r="D209" s="6"/>
      <c r="E209" s="6"/>
    </row>
    <row r="307" spans="4:5" x14ac:dyDescent="0.25">
      <c r="D307" s="7"/>
    </row>
    <row r="308" spans="4:5" x14ac:dyDescent="0.25">
      <c r="D308" s="7"/>
    </row>
    <row r="309" spans="4:5" x14ac:dyDescent="0.25">
      <c r="D309" s="6"/>
      <c r="E309" s="6"/>
    </row>
  </sheetData>
  <sortState ref="T15746:T15873">
    <sortCondition ref="T15746"/>
  </sortState>
  <mergeCells count="7">
    <mergeCell ref="A33:B35"/>
    <mergeCell ref="A37:B39"/>
    <mergeCell ref="A8:B8"/>
    <mergeCell ref="A1:B1"/>
    <mergeCell ref="A30:B30"/>
    <mergeCell ref="A31:B31"/>
    <mergeCell ref="A12:B12"/>
  </mergeCells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027" r:id="rId4" name="CommandButton3">
          <controlPr defaultSize="0" autoLine="0" r:id="rId5">
            <anchor moveWithCells="1">
              <from>
                <xdr:col>2</xdr:col>
                <xdr:colOff>171450</xdr:colOff>
                <xdr:row>5</xdr:row>
                <xdr:rowOff>9525</xdr:rowOff>
              </from>
              <to>
                <xdr:col>4</xdr:col>
                <xdr:colOff>19050</xdr:colOff>
                <xdr:row>6</xdr:row>
                <xdr:rowOff>114300</xdr:rowOff>
              </to>
            </anchor>
          </controlPr>
        </control>
      </mc:Choice>
      <mc:Fallback>
        <control shapeId="1027" r:id="rId4" name="CommandButton3"/>
      </mc:Fallback>
    </mc:AlternateContent>
    <mc:AlternateContent xmlns:mc="http://schemas.openxmlformats.org/markup-compatibility/2006">
      <mc:Choice Requires="x14">
        <control shapeId="1025" r:id="rId6" name="CommandButton1">
          <controlPr defaultSize="0" autoLine="0" r:id="rId7">
            <anchor moveWithCells="1">
              <from>
                <xdr:col>2</xdr:col>
                <xdr:colOff>171450</xdr:colOff>
                <xdr:row>1</xdr:row>
                <xdr:rowOff>9525</xdr:rowOff>
              </from>
              <to>
                <xdr:col>4</xdr:col>
                <xdr:colOff>19050</xdr:colOff>
                <xdr:row>3</xdr:row>
                <xdr:rowOff>28575</xdr:rowOff>
              </to>
            </anchor>
          </controlPr>
        </control>
      </mc:Choice>
      <mc:Fallback>
        <control shapeId="1025" r:id="rId6" name="CommandButton1"/>
      </mc:Fallback>
    </mc:AlternateContent>
    <mc:AlternateContent xmlns:mc="http://schemas.openxmlformats.org/markup-compatibility/2006">
      <mc:Choice Requires="x14">
        <control shapeId="1026" r:id="rId8" name="CommandButton2">
          <controlPr defaultSize="0" autoLine="0" r:id="rId9">
            <anchor moveWithCells="1">
              <from>
                <xdr:col>2</xdr:col>
                <xdr:colOff>171450</xdr:colOff>
                <xdr:row>3</xdr:row>
                <xdr:rowOff>57150</xdr:rowOff>
              </from>
              <to>
                <xdr:col>4</xdr:col>
                <xdr:colOff>19050</xdr:colOff>
                <xdr:row>4</xdr:row>
                <xdr:rowOff>161925</xdr:rowOff>
              </to>
            </anchor>
          </controlPr>
        </control>
      </mc:Choice>
      <mc:Fallback>
        <control shapeId="1026" r:id="rId8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calculation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lvrysis</dc:creator>
  <cp:lastModifiedBy>lvrysis</cp:lastModifiedBy>
  <dcterms:created xsi:type="dcterms:W3CDTF">2015-06-03T14:40:18Z</dcterms:created>
  <dcterms:modified xsi:type="dcterms:W3CDTF">2019-03-12T15:35:05Z</dcterms:modified>
</cp:coreProperties>
</file>